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mraan Excel Project\PROJECT 4\"/>
    </mc:Choice>
  </mc:AlternateContent>
  <xr:revisionPtr revIDLastSave="0" documentId="8_{F2FAC35E-F2D9-4CF6-B5AB-4ED113E7AD51}" xr6:coauthVersionLast="47" xr6:coauthVersionMax="47" xr10:uidLastSave="{00000000-0000-0000-0000-000000000000}"/>
  <bookViews>
    <workbookView xWindow="-120" yWindow="-120" windowWidth="20730" windowHeight="11040" xr2:uid="{A018FB7C-1D28-487E-AA8B-6FD0E965D9A3}"/>
  </bookViews>
  <sheets>
    <sheet name="MIS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ELCOT</author>
  </authors>
  <commentList>
    <comment ref="H4" authorId="0" shapeId="0" xr:uid="{B83B0FC4-0771-45E0-B4E3-647BB552A5FE}">
      <text>
        <r>
          <rPr>
            <b/>
            <sz val="9"/>
            <color indexed="81"/>
            <rFont val="Tahoma"/>
            <charset val="1"/>
          </rPr>
          <t>ELCOT:</t>
        </r>
        <r>
          <rPr>
            <sz val="9"/>
            <color indexed="81"/>
            <rFont val="Tahoma"/>
            <charset val="1"/>
          </rPr>
          <t xml:space="preserve">
Gross Profit ÷ Sales × 100</t>
        </r>
      </text>
    </comment>
    <comment ref="H5" authorId="0" shapeId="0" xr:uid="{F60C6F3F-4668-433B-BB9B-498AA7826F3A}">
      <text>
        <r>
          <rPr>
            <b/>
            <sz val="9"/>
            <color indexed="81"/>
            <rFont val="Tahoma"/>
            <charset val="1"/>
          </rPr>
          <t>ELCOT:</t>
        </r>
        <r>
          <rPr>
            <sz val="9"/>
            <color indexed="81"/>
            <rFont val="Tahoma"/>
            <charset val="1"/>
          </rPr>
          <t xml:space="preserve">
Total Expenses ÷ Sales × 100</t>
        </r>
      </text>
    </comment>
  </commentList>
</comments>
</file>

<file path=xl/sharedStrings.xml><?xml version="1.0" encoding="utf-8"?>
<sst xmlns="http://schemas.openxmlformats.org/spreadsheetml/2006/main" count="26" uniqueCount="24">
  <si>
    <t>Particulars</t>
  </si>
  <si>
    <t>Amount</t>
  </si>
  <si>
    <t>Total Sales</t>
  </si>
  <si>
    <t>Total Purchase</t>
  </si>
  <si>
    <t>Gross Profit</t>
  </si>
  <si>
    <t>Total Expenses</t>
  </si>
  <si>
    <t>Net Profit / Loss</t>
  </si>
  <si>
    <t>Cash Balance</t>
  </si>
  <si>
    <t>Bank Balance</t>
  </si>
  <si>
    <t>FINANCIAL ACCOUNTING &amp; MIS ANALYSIS</t>
  </si>
  <si>
    <t>Accounts Receivable</t>
  </si>
  <si>
    <t>Accounts Payable</t>
  </si>
  <si>
    <t>Working Capital</t>
  </si>
  <si>
    <t>KPI</t>
  </si>
  <si>
    <t>Value</t>
  </si>
  <si>
    <t>Gross Profit Margin</t>
  </si>
  <si>
    <t>Expense Ratio</t>
  </si>
  <si>
    <t>Receivable Amount</t>
  </si>
  <si>
    <t>Payable Amount</t>
  </si>
  <si>
    <t>KEY INSIGHTS</t>
  </si>
  <si>
    <t>1.Sales generated ₹1.20 lakh with a Gross Profit of ₹40,000.</t>
  </si>
  <si>
    <t>2.Total expenses of ₹63,000 resulted in a Net Loss of ₹23,000.</t>
  </si>
  <si>
    <t>3.Bank balance of ₹1.90 lakh indicates strong cash availability.</t>
  </si>
  <si>
    <t>4.Receivables of ₹50,000 are higher than Payables of ₹30,000.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</si>
</sst>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43" formatCode="_ * #,##0.00_ ;_ * \-#,##0.00_ ;_ * &quot;-&quot;??_ ;_ @_ "/>
    <numFmt numFmtId="171" formatCode="&quot;₹&quot;\ #,##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horizontal="right" vertical="center" wrapText="1"/>
    </xf>
    <xf numFmtId="43" fontId="0" fillId="0" borderId="0" xfId="1" applyFont="1" applyAlignment="1">
      <alignment horizontal="righ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0" xfId="0" applyFont="1"/>
    <xf numFmtId="171" fontId="0" fillId="0" borderId="0" xfId="0" applyNumberFormat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Financial Performance Overview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'MIS Summary'!$A$4:$A$7</c:f>
              <c:strCache>
                <c:ptCount val="4"/>
                <c:pt idx="0">
                  <c:v>Total Sales</c:v>
                </c:pt>
                <c:pt idx="1">
                  <c:v>Total Purchase</c:v>
                </c:pt>
                <c:pt idx="2">
                  <c:v>Gross Profit</c:v>
                </c:pt>
                <c:pt idx="3">
                  <c:v>Total Expenses</c:v>
                </c:pt>
              </c:strCache>
            </c:strRef>
          </c:cat>
          <c:val>
            <c:numRef>
              <c:f>'MIS Summary'!$B$4:$B$7</c:f>
              <c:numCache>
                <c:formatCode>"₹"\ #,##0</c:formatCode>
                <c:ptCount val="4"/>
                <c:pt idx="0">
                  <c:v>120000</c:v>
                </c:pt>
                <c:pt idx="1">
                  <c:v>80000</c:v>
                </c:pt>
                <c:pt idx="2">
                  <c:v>40000</c:v>
                </c:pt>
                <c:pt idx="3">
                  <c:v>63000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E4-40A0-AE1D-C8D3B27946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240310976"/>
        <c:axId val="169154192"/>
      </c:barChart>
      <c:catAx>
        <c:axId val="24031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54192"/>
        <c:crosses val="autoZero"/>
        <c:auto val="1"/>
        <c:lblAlgn val="ctr"/>
        <c:lblOffset val="100"/>
        <c:noMultiLvlLbl val="0"/>
      </c:catAx>
      <c:valAx>
        <c:axId val="1691541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31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Cash &amp; Bank Position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'MIS Summary'!$A$9:$A$10</c:f>
              <c:strCache>
                <c:ptCount val="2"/>
                <c:pt idx="0">
                  <c:v>Cash Balance</c:v>
                </c:pt>
                <c:pt idx="1">
                  <c:v>Bank Balance</c:v>
                </c:pt>
              </c:strCache>
            </c:strRef>
          </c:cat>
          <c:val>
            <c:numRef>
              <c:f>'MIS Summary'!$B$9:$B$10</c:f>
              <c:numCache>
                <c:formatCode>"₹"\ #,##0</c:formatCode>
                <c:ptCount val="2"/>
                <c:pt idx="0">
                  <c:v>17000</c:v>
                </c:pt>
                <c:pt idx="1">
                  <c:v>190000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E5-45B3-9288-B2B26413535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Receivables vs Payables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'MIS Summary'!$G$6:$G$7</c:f>
              <c:strCache>
                <c:ptCount val="2"/>
                <c:pt idx="0">
                  <c:v>Receivable Amount</c:v>
                </c:pt>
                <c:pt idx="1">
                  <c:v>Payable Amount</c:v>
                </c:pt>
              </c:strCache>
            </c:strRef>
          </c:cat>
          <c:val>
            <c:numRef>
              <c:f>'MIS Summary'!$H$6:$H$7</c:f>
              <c:numCache>
                <c:formatCode>"₹"#,##0_);[Red]\("₹"#,##0\)</c:formatCode>
                <c:ptCount val="2"/>
                <c:pt idx="0">
                  <c:v>50000</c:v>
                </c:pt>
                <c:pt idx="1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EF-4D73-BA51-EAF1A479E8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40228848"/>
        <c:axId val="169164272"/>
      </c:barChart>
      <c:catAx>
        <c:axId val="24022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64272"/>
        <c:crosses val="autoZero"/>
        <c:auto val="1"/>
        <c:lblAlgn val="ctr"/>
        <c:lblOffset val="100"/>
        <c:noMultiLvlLbl val="0"/>
      </c:catAx>
      <c:valAx>
        <c:axId val="16916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22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11</xdr:row>
      <xdr:rowOff>42861</xdr:rowOff>
    </xdr:from>
    <xdr:to>
      <xdr:col>4</xdr:col>
      <xdr:colOff>123825</xdr:colOff>
      <xdr:row>25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951ABC-CA5C-1007-A8E0-E42DFA0C84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204786</xdr:colOff>
      <xdr:row>11</xdr:row>
      <xdr:rowOff>33337</xdr:rowOff>
    </xdr:from>
    <xdr:to>
      <xdr:col>9</xdr:col>
      <xdr:colOff>0</xdr:colOff>
      <xdr:row>24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94F776-887A-8DA4-4AE9-012320D41B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114301</xdr:colOff>
      <xdr:row>11</xdr:row>
      <xdr:rowOff>33337</xdr:rowOff>
    </xdr:from>
    <xdr:to>
      <xdr:col>9</xdr:col>
      <xdr:colOff>3238500</xdr:colOff>
      <xdr:row>24</xdr:row>
      <xdr:rowOff>142874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DEB04B-4FDC-B8F1-E93D-6DD9F3F3F9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02D97-16D5-4B29-B3AE-DFA5C0AA94BA}">
  <dimension ref="A1:J10"/>
  <sheetViews>
    <sheetView tabSelected="1" workbookViewId="0">
      <selection activeCell="J2" sqref="J2"/>
    </sheetView>
  </sheetViews>
  <sheetFormatPr defaultRowHeight="15" x14ac:dyDescent="0.25"/>
  <cols>
    <col min="1" max="1" width="14.85546875" bestFit="1" customWidth="1"/>
    <col min="2" max="2" width="9.7109375" customWidth="1"/>
    <col min="4" max="4" width="11.42578125" customWidth="1"/>
    <col min="5" max="5" width="11" customWidth="1"/>
    <col min="7" max="7" width="10.7109375" customWidth="1"/>
    <col min="8" max="8" width="9.85546875" customWidth="1"/>
    <col min="9" max="9" width="3.28515625" customWidth="1"/>
    <col min="10" max="10" width="55.85546875" bestFit="1" customWidth="1"/>
  </cols>
  <sheetData>
    <row r="1" spans="1:10" x14ac:dyDescent="0.25">
      <c r="A1" s="6" t="s">
        <v>9</v>
      </c>
      <c r="B1" s="6"/>
      <c r="C1" s="6"/>
      <c r="D1" s="6"/>
      <c r="E1" s="6"/>
      <c r="F1" s="6"/>
      <c r="G1" s="6"/>
      <c r="H1" s="6"/>
    </row>
    <row r="2" spans="1:10" x14ac:dyDescent="0.25">
      <c r="G2" s="1"/>
      <c r="H2" s="2"/>
    </row>
    <row r="3" spans="1:10" x14ac:dyDescent="0.25">
      <c r="A3" s="7" t="s">
        <v>0</v>
      </c>
      <c r="B3" s="2" t="s">
        <v>1</v>
      </c>
      <c r="C3" s="8"/>
      <c r="D3" s="7" t="s">
        <v>0</v>
      </c>
      <c r="E3" s="2" t="s">
        <v>1</v>
      </c>
      <c r="F3" s="8"/>
      <c r="G3" s="7" t="s">
        <v>13</v>
      </c>
      <c r="H3" s="2" t="s">
        <v>14</v>
      </c>
    </row>
    <row r="4" spans="1:10" ht="45" x14ac:dyDescent="0.25">
      <c r="A4" s="3" t="s">
        <v>2</v>
      </c>
      <c r="B4" s="9">
        <v>120000</v>
      </c>
      <c r="D4" s="3" t="s">
        <v>10</v>
      </c>
      <c r="E4" s="9">
        <v>50000</v>
      </c>
      <c r="G4" s="3" t="s">
        <v>15</v>
      </c>
      <c r="H4" s="5">
        <f>B6/B4*100</f>
        <v>33.333333333333329</v>
      </c>
      <c r="J4" s="8" t="s">
        <v>19</v>
      </c>
    </row>
    <row r="5" spans="1:10" ht="30" x14ac:dyDescent="0.25">
      <c r="A5" s="3" t="s">
        <v>3</v>
      </c>
      <c r="B5" s="9">
        <v>80000</v>
      </c>
      <c r="D5" s="3" t="s">
        <v>11</v>
      </c>
      <c r="E5" s="9">
        <v>30000</v>
      </c>
      <c r="G5" s="3" t="s">
        <v>16</v>
      </c>
      <c r="H5" s="5">
        <f>B7/B4*100</f>
        <v>52.5</v>
      </c>
      <c r="J5" s="8" t="s">
        <v>20</v>
      </c>
    </row>
    <row r="6" spans="1:10" ht="30" x14ac:dyDescent="0.25">
      <c r="A6" s="3" t="s">
        <v>4</v>
      </c>
      <c r="B6" s="9">
        <v>40000</v>
      </c>
      <c r="D6" s="3" t="s">
        <v>12</v>
      </c>
      <c r="E6" s="9">
        <v>227000</v>
      </c>
      <c r="G6" s="3" t="s">
        <v>17</v>
      </c>
      <c r="H6" s="4">
        <v>50000</v>
      </c>
      <c r="J6" s="8" t="s">
        <v>21</v>
      </c>
    </row>
    <row r="7" spans="1:10" ht="30" x14ac:dyDescent="0.25">
      <c r="A7" s="3" t="s">
        <v>5</v>
      </c>
      <c r="B7" s="9">
        <v>63000</v>
      </c>
      <c r="G7" s="3" t="s">
        <v>18</v>
      </c>
      <c r="H7" s="4">
        <v>30000</v>
      </c>
      <c r="J7" s="8" t="s">
        <v>22</v>
      </c>
    </row>
    <row r="8" spans="1:10" x14ac:dyDescent="0.25">
      <c r="A8" s="3" t="s">
        <v>6</v>
      </c>
      <c r="B8" s="9">
        <v>-23000</v>
      </c>
      <c r="J8" s="8" t="s">
        <v>23</v>
      </c>
    </row>
    <row r="9" spans="1:10" x14ac:dyDescent="0.25">
      <c r="A9" s="3" t="s">
        <v>7</v>
      </c>
      <c r="B9" s="9">
        <v>17000</v>
      </c>
    </row>
    <row r="10" spans="1:10" x14ac:dyDescent="0.25">
      <c r="A10" s="3" t="s">
        <v>8</v>
      </c>
      <c r="B10" s="9">
        <v>190000</v>
      </c>
    </row>
  </sheetData>
  <mergeCells count="1">
    <mergeCell ref="A1:H1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S0574951</dc:creator>
  <cp:lastModifiedBy>S0574951</cp:lastModifiedBy>
  <dcterms:created xsi:type="dcterms:W3CDTF">2026-08-16T15:54:13Z</dcterms:created>
  <dcterms:modified xsi:type="dcterms:W3CDTF">2026-08-16T16:11:49Z</dcterms:modified>
</cp:coreProperties>
</file>